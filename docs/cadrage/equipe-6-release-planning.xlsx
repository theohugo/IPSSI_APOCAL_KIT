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ye\APOCALIPSSI\IPSSI_APOCAL_KIT\docs\cadrage\"/>
    </mc:Choice>
  </mc:AlternateContent>
  <xr:revisionPtr revIDLastSave="0" documentId="13_ncr:1_{D54F5441-E3B7-4DEB-9716-817D94F82FC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rde" sheetId="1" r:id="rId1"/>
    <sheet name="Release Planning" sheetId="2" r:id="rId2"/>
    <sheet name="Burnup global" sheetId="3" r:id="rId3"/>
    <sheet name="Légende &amp; Notes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3" l="1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D13" i="2"/>
  <c r="C13" i="2"/>
</calcChain>
</file>

<file path=xl/sharedStrings.xml><?xml version="1.0" encoding="utf-8"?>
<sst xmlns="http://schemas.openxmlformats.org/spreadsheetml/2006/main" count="141" uniqueCount="118">
  <si>
    <t>APOCAL'IPSSI 2026 — EduTutor IA</t>
  </si>
  <si>
    <t>Release Planning + Burnup global</t>
  </si>
  <si>
    <t>Artefact 5 / 7 — Cadrage du lundi matin (à déposer avant 13h00)</t>
  </si>
  <si>
    <t>Bloc d'identification</t>
  </si>
  <si>
    <t>Équipe n°</t>
  </si>
  <si>
    <t>Membres de l'équipe</t>
  </si>
  <si>
    <t>Responsable de cet artefact</t>
  </si>
  <si>
    <t>Sprint en cours</t>
  </si>
  <si>
    <t>Avant Sprint 1 (cadrage)</t>
  </si>
  <si>
    <t>Version</t>
  </si>
  <si>
    <t>1.0</t>
  </si>
  <si>
    <t>Date</t>
  </si>
  <si>
    <t>Lundi 29/06/2026</t>
  </si>
  <si>
    <t>Statut</t>
  </si>
  <si>
    <t>🟡 En attente de validation PO</t>
  </si>
  <si>
    <t>Dépôt GitHub</t>
  </si>
  <si>
    <t>💡 Objectif de cet artefact</t>
  </si>
  <si>
    <t>Placer les user stories de la Story Map sur les 8 sprints de demi-journée de la semaine. Jalons imposés : Release 1 (MVP) livrée fin de Sprint S5 (mercredi soir), Release 2 livrée fin de Sprint S7 (jeudi soir). Le Sprint 1 doit rester sous-engagé (~70% de la capacité) car la vélocité de l'équipe est encore inconnue.</t>
  </si>
  <si>
    <t>📂 Feuilles de ce classeur</t>
  </si>
  <si>
    <t>1. Release Planning</t>
  </si>
  <si>
    <t>Planning des 8 sprints × capacité, vélocité, objectif, stories, perturbations, jalons</t>
  </si>
  <si>
    <t>2. Burnup global</t>
  </si>
  <si>
    <t>Suivi cumulé des story points livrés vs objectif sur la semaine</t>
  </si>
  <si>
    <t>3. Légende MoSCoW &amp; Notes</t>
  </si>
  <si>
    <t>Code couleur, hypothèses de capacité, règles de calcul</t>
  </si>
  <si>
    <t>Release Planning — EduTutor IA — Semaine APOCAL'IPSSI 2026</t>
  </si>
  <si>
    <t>Sprint</t>
  </si>
  <si>
    <t>Période</t>
  </si>
  <si>
    <t>Capacité (h-pers)</t>
  </si>
  <si>
    <t>Vélocité visée (SP)</t>
  </si>
  <si>
    <t>Objectif du sprint</t>
  </si>
  <si>
    <t>Stories (US-XX)</t>
  </si>
  <si>
    <t>Perturbation associée</t>
  </si>
  <si>
    <t>Release / Jalon</t>
  </si>
  <si>
    <t>S1</t>
  </si>
  <si>
    <t>Lun 29/06 — 14h-18h</t>
  </si>
  <si>
    <t>Poser les bases techniques : auth e-mail opérationnelle de bout en bout, premier upload de cours fonctionnel.</t>
  </si>
  <si>
    <t>US-01, US-02, US-03</t>
  </si>
  <si>
    <t>—</t>
  </si>
  <si>
    <t>Sprint 1 (cadrage → code)</t>
  </si>
  <si>
    <t>S2</t>
  </si>
  <si>
    <t>Mar 30/06 — 09h-13h</t>
  </si>
  <si>
    <t>Finaliser F2-F3 : upload PDF/texte robuste + génération de quiz LLM local stable.</t>
  </si>
  <si>
    <t>US-04, US-05, US-06</t>
  </si>
  <si>
    <t>Perturbation J1 (lundi 14h, livrée mardi 9h) : persona Mme Lefèvre</t>
  </si>
  <si>
    <t>S3</t>
  </si>
  <si>
    <t>Mar 30/06 — 14h-18h</t>
  </si>
  <si>
    <t>Décision technique : benchmark des modèles LLM, ADR fournisseur, migration feature-flaggée si besoin.</t>
  </si>
  <si>
    <t>US-07, US-08</t>
  </si>
  <si>
    <t>Perturbation J2 (mardi 10h) : latence / choix modèle / ADR</t>
  </si>
  <si>
    <t>S4</t>
  </si>
  <si>
    <t>Mer 01/07 — 09h-13h</t>
  </si>
  <si>
    <t>Durcir F4-F5 (correction + score) et intégrer les premiers tests de sécurité adversariaux.</t>
  </si>
  <si>
    <t>US-09, US-10, US-11</t>
  </si>
  <si>
    <t>Perturbation J3 (mercredi 10h) : prompt injection / sécurité</t>
  </si>
  <si>
    <t>S5</t>
  </si>
  <si>
    <t>Mer 01/07 — 14h-17h45</t>
  </si>
  <si>
    <t>Finir F6 (historique), conformité RGPD (pages légales, SAR), stabiliser et taguer le MVP.</t>
  </si>
  <si>
    <t>US-12, US-13, US-14</t>
  </si>
  <si>
    <t>Perturbation J3-bis (mercredi 14h) : SAR RGPD / pages légales</t>
  </si>
  <si>
    <t>🎯 RELEASE 1 — MVP (tag v1.0.0-mvp) — Mercredi 17h45</t>
  </si>
  <si>
    <t>S6</t>
  </si>
  <si>
    <t>Jeu 02/07 — 09h-13h</t>
  </si>
  <si>
    <t>Traiter le retour client (QuestionReport, audit qualité) et démarrer 2-3 pistes Release 2.</t>
  </si>
  <si>
    <t>US-15, US-16</t>
  </si>
  <si>
    <t>Perturbation J4 (jeudi 10h) : retour Mme Lefèvre / post-mortem</t>
  </si>
  <si>
    <t>S7</t>
  </si>
  <si>
    <t>Jeu 02/07 — 14h-17h45</t>
  </si>
  <si>
    <t>Finaliser et polir les pistes Release 2 retenues, taguer la release, préparer la démo.</t>
  </si>
  <si>
    <t>US-17, US-18</t>
  </si>
  <si>
    <t>🚀 RELEASE 2 (tag v1.1.0) — Jeudi 17h45</t>
  </si>
  <si>
    <t>S8</t>
  </si>
  <si>
    <t>Ven 03/07 — matin</t>
  </si>
  <si>
    <t>Stabilisation finale, répétition de la démo, préparation du support de soutenance.</t>
  </si>
  <si>
    <t>US-19, US-20</t>
  </si>
  <si>
    <t>🎤 Soutenance (créneau équipe, vendredi)</t>
  </si>
  <si>
    <t>TOTAL</t>
  </si>
  <si>
    <t>Semaine complète</t>
  </si>
  <si>
    <t>⚠️ Anti-piège vélocité : le Sprint 1 est volontairement sous-engagé (~70% de la capacité réelle estimée) car la vélocité de l'équipe est encore inconnue. Les sprints suivants seront recalibrés à partir de la vélocité réellement observée en S1 et S2 (cf. Burnup global).</t>
  </si>
  <si>
    <t>💡 Les libellés "US-XX" renvoient au Product Backlog (artefact 6) et à la Story Map (artefact 4). À mettre à jour avec les identifiants définitifs dès que ces deux artefacts sont validés par le PO.</t>
  </si>
  <si>
    <t>Burnup global — EduTutor IA — Semaine APOCAL'IPSSI 2026</t>
  </si>
  <si>
    <t>Suivi cumulé des story points livrés vs. objectif total du backlog (mis à jour à chaque sprint)</t>
  </si>
  <si>
    <t>SP planifiés (cumulé)</t>
  </si>
  <si>
    <t>SP livrés (cumulé)</t>
  </si>
  <si>
    <t>Périmètre total (SP)</t>
  </si>
  <si>
    <t>Écart (SP)</t>
  </si>
  <si>
    <t>Jalon</t>
  </si>
  <si>
    <t>Lun 29/06</t>
  </si>
  <si>
    <t>Mar 30/06</t>
  </si>
  <si>
    <t>Mer 01/07</t>
  </si>
  <si>
    <t>Jeu 02/07</t>
  </si>
  <si>
    <t>Ven 03/07</t>
  </si>
  <si>
    <t>📝 À faire chaque jour : remplacer les 0 de la colonne « SP livrés (cumulé) » par les story points réellement terminés (Definition of Done respectée) à la fin de chaque sprint. Le graphique ci-dessous se met à jour automatiquement.</t>
  </si>
  <si>
    <t>Légende &amp; hypothèses de travail</t>
  </si>
  <si>
    <t>Code couleur jalons</t>
  </si>
  <si>
    <t>Release 1 — MVP</t>
  </si>
  <si>
    <t>Ligne rouge clair : sprint où le MVP (F1-F6) doit être livré et taggé v1.0.0-mvp (mercredi 17h45, strict).</t>
  </si>
  <si>
    <t>Release 2</t>
  </si>
  <si>
    <t>Ligne verte clair : sprint où 2-3 pistes Release 2 sont livrées et taggées v1.1.0 (jeudi 17h45, strict).</t>
  </si>
  <si>
    <t>Soutenance</t>
  </si>
  <si>
    <t>Ligne bleue clair : créneau de démo finale devant le jury (vendredi).</t>
  </si>
  <si>
    <t>Perturbation (texte orange italique)</t>
  </si>
  <si>
    <t>Une perturbation pédagogique tombe sur ce sprint ou doit être traitée avant le sprint suivant.</t>
  </si>
  <si>
    <t>Hypothèses de capacité</t>
  </si>
  <si>
    <t>Équipe</t>
  </si>
  <si>
    <t>7 personnes — taille fournie par l'équipe.</t>
  </si>
  <si>
    <t>Capacité brute / sprint</t>
  </si>
  <si>
    <t>7 pers. × 4h ≈ 28 h-pers par demi-journée type. Réduite à 24-20 h-pers les sprints raccourcis par les perturbations (S5, S7, S8).</t>
  </si>
  <si>
    <t>Vélocité Sprint 1</t>
  </si>
  <si>
    <t>Volontairement sous-engagée à ~70% (14 SP au lieu d'une vélocité cible théorique de ~20 SP), conformément à la règle du jour J1.</t>
  </si>
  <si>
    <t>Vélocité S2+</t>
  </si>
  <si>
    <t>Ajustée à la hausse progressivement, à recalibrer réellement après chaque rétro en fonction du vrai débit observé.</t>
  </si>
  <si>
    <t>Conversion h-pers → SP</t>
  </si>
  <si>
    <t>Indicative seulement (pas de ratio fixe imposé) — à affiner avec le Product Backlog une fois les stories estimées en points.</t>
  </si>
  <si>
    <t>Équipe 6</t>
  </si>
  <si>
    <t>RAYAN ZEBAZE</t>
  </si>
  <si>
    <t>/docs/cadrage/equipe-6-release-planning.xlsx</t>
  </si>
  <si>
    <t>RAYAN ZEBAZE, Hugo RAGUIN, Kahil MOKHTARI, Amine HADDANE, Souleymane FALL, Nikola MILOSAVLJEVIC, Dina CHAOUKI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</si>
</sst>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5B7B8A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i/>
      <sz val="9"/>
      <color rgb="FF5B7B8A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F39C12"/>
      <name val="Arial"/>
      <charset val="1"/>
    </font>
    <font>
      <b/>
      <sz val="10"/>
      <color rgb="FFC0392B"/>
      <name val="Arial"/>
      <charset val="1"/>
    </font>
    <font>
      <b/>
      <sz val="10"/>
      <color rgb="FF27AE60"/>
      <name val="Arial"/>
      <charset val="1"/>
    </font>
    <font>
      <b/>
      <sz val="10"/>
      <color rgb="FF1F4E5F"/>
      <name val="Arial"/>
      <charset val="1"/>
    </font>
    <font>
      <i/>
      <sz val="9"/>
      <color rgb="FFFFFFFF"/>
      <name val="Arial"/>
      <charset val="1"/>
    </font>
    <font>
      <i/>
      <sz val="9"/>
      <color rgb="FF7F8C8D"/>
      <name val="Arial"/>
      <charset val="1"/>
    </font>
    <font>
      <b/>
      <sz val="11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0B2433"/>
        <bgColor rgb="FF003300"/>
      </patternFill>
    </fill>
    <fill>
      <patternFill patternType="solid">
        <fgColor rgb="FF1F4E5F"/>
        <bgColor rgb="FF333399"/>
      </patternFill>
    </fill>
    <fill>
      <patternFill patternType="solid">
        <fgColor rgb="FFEAF2F5"/>
        <bgColor rgb="FFD6EAF8"/>
      </patternFill>
    </fill>
    <fill>
      <patternFill patternType="solid">
        <fgColor rgb="FFFFFFFF"/>
        <bgColor rgb="FFFFF7E6"/>
      </patternFill>
    </fill>
    <fill>
      <patternFill patternType="solid">
        <fgColor rgb="FFFFF7E6"/>
        <bgColor rgb="FFFFFFFF"/>
      </patternFill>
    </fill>
    <fill>
      <patternFill patternType="solid">
        <fgColor rgb="FFFADBD8"/>
        <bgColor rgb="FFD9D9D9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4" borderId="1" xfId="0" applyFont="1" applyFill="1" applyBorder="1"/>
    <xf numFmtId="0" fontId="6" fillId="5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left" vertical="top" wrapText="1"/>
    </xf>
    <xf numFmtId="0" fontId="12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top" wrapText="1"/>
    </xf>
    <xf numFmtId="0" fontId="12" fillId="7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" fontId="11" fillId="9" borderId="1" xfId="0" applyNumberFormat="1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top" wrapText="1"/>
    </xf>
    <xf numFmtId="0" fontId="15" fillId="9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0" fontId="0" fillId="3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vertical="top" wrapText="1"/>
    </xf>
    <xf numFmtId="0" fontId="4" fillId="3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7" fillId="6" borderId="3" xfId="0" applyFont="1" applyFill="1" applyBorder="1" applyAlignment="1">
      <alignment vertical="center" wrapText="1"/>
    </xf>
    <xf numFmtId="0" fontId="1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7E6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5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5B7B8A"/>
      <rgbColor rgb="FF7F8C8D"/>
      <rgbColor rgb="FF0B2433"/>
      <rgbColor rgb="FF27AE60"/>
      <rgbColor rgb="FF003300"/>
      <rgbColor rgb="FF333300"/>
      <rgbColor rgb="FFC0392B"/>
      <rgbColor rgb="FF993366"/>
      <rgbColor rgb="FF333399"/>
      <rgbColor rgb="FF1F4E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CM" sz="1800" b="1" strike="noStrike" spc="-1">
                <a:solidFill>
                  <a:srgbClr val="000000"/>
                </a:solidFill>
                <a:latin typeface="Calibri"/>
              </a:rPr>
              <a:t>Burnup global — SP planifiés vs SP livrés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'Burnup global'!$C$4</c:f>
              <c:strCache>
                <c:ptCount val="1"/>
                <c:pt idx="0">
                  <c:v>SP planifiés (cumulé)</c:v>
                </c:pt>
              </c:strCache>
            </c:strRef>
          </c:tx>
          <c:spPr>
            <a:ln w="20160">
              <a:solidFill>
                <a:srgbClr val="1F4E5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global'!$A$5:$A$12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'Burnup global'!$C$5:$C$12</c:f>
              <c:numCache>
                <c:formatCode>General</c:formatCode>
                <c:ptCount val="8"/>
                <c:pt idx="0">
                  <c:v>14</c:v>
                </c:pt>
                <c:pt idx="1">
                  <c:v>32</c:v>
                </c:pt>
                <c:pt idx="2">
                  <c:v>52</c:v>
                </c:pt>
                <c:pt idx="3">
                  <c:v>72</c:v>
                </c:pt>
                <c:pt idx="4">
                  <c:v>94</c:v>
                </c:pt>
                <c:pt idx="5">
                  <c:v>112</c:v>
                </c:pt>
                <c:pt idx="6">
                  <c:v>130</c:v>
                </c:pt>
                <c:pt idx="7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B3-40E3-9A65-F08C246BD98E}"/>
            </c:ext>
          </c:extLst>
        </c:ser>
        <c:ser>
          <c:idx val="1"/>
          <c:order val="1"/>
          <c:tx>
            <c:strRef>
              <c:f>'Burnup global'!$D$4</c:f>
              <c:strCache>
                <c:ptCount val="1"/>
                <c:pt idx="0">
                  <c:v>SP livrés (cumulé)</c:v>
                </c:pt>
              </c:strCache>
            </c:strRef>
          </c:tx>
          <c:spPr>
            <a:ln w="28080">
              <a:solidFill>
                <a:srgbClr val="C0392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global'!$A$5:$A$12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'Burnup global'!$D$5:$D$12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AB3-40E3-9A65-F08C246BD98E}"/>
            </c:ext>
          </c:extLst>
        </c:ser>
        <c:ser>
          <c:idx val="2"/>
          <c:order val="2"/>
          <c:tx>
            <c:strRef>
              <c:f>'Burnup global'!$E$4</c:f>
              <c:strCache>
                <c:ptCount val="1"/>
                <c:pt idx="0">
                  <c:v>Périmètre total (SP)</c:v>
                </c:pt>
              </c:strCache>
            </c:strRef>
          </c:tx>
          <c:spPr>
            <a:ln w="14040">
              <a:solidFill>
                <a:srgbClr val="7F8C8D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'Burnup global'!$A$5:$A$12</c:f>
              <c:strCache>
                <c:ptCount val="8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  <c:pt idx="6">
                  <c:v>S7</c:v>
                </c:pt>
                <c:pt idx="7">
                  <c:v>S8</c:v>
                </c:pt>
              </c:strCache>
            </c:strRef>
          </c:cat>
          <c:val>
            <c:numRef>
              <c:f>'Burnup global'!$E$5:$E$12</c:f>
              <c:numCache>
                <c:formatCode>General</c:formatCode>
                <c:ptCount val="8"/>
                <c:pt idx="0">
                  <c:v>140</c:v>
                </c:pt>
                <c:pt idx="1">
                  <c:v>140</c:v>
                </c:pt>
                <c:pt idx="2">
                  <c:v>140</c:v>
                </c:pt>
                <c:pt idx="3">
                  <c:v>140</c:v>
                </c:pt>
                <c:pt idx="4">
                  <c:v>140</c:v>
                </c:pt>
                <c:pt idx="5">
                  <c:v>140</c:v>
                </c:pt>
                <c:pt idx="6">
                  <c:v>140</c:v>
                </c:pt>
                <c:pt idx="7">
                  <c:v>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AB3-40E3-9A65-F08C246BD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7926040"/>
        <c:axId val="10231271"/>
      </c:lineChart>
      <c:catAx>
        <c:axId val="679260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M" sz="1000" b="1" strike="noStrike" spc="-1">
                    <a:solidFill>
                      <a:srgbClr val="000000"/>
                    </a:solidFill>
                    <a:latin typeface="Calibri"/>
                  </a:rPr>
                  <a:t>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0231271"/>
        <c:crosses val="autoZero"/>
        <c:auto val="1"/>
        <c:lblAlgn val="ctr"/>
        <c:lblOffset val="100"/>
        <c:noMultiLvlLbl val="0"/>
      </c:catAx>
      <c:valAx>
        <c:axId val="102312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CM" sz="1000" b="1" strike="noStrike" spc="-1">
                    <a:solidFill>
                      <a:srgbClr val="000000"/>
                    </a:solidFill>
                    <a:latin typeface="Calibri"/>
                  </a:rPr>
                  <a:t>Story Points (cumulés)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79260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1027080</xdr:colOff>
      <xdr:row>35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tabSelected="1" zoomScaleNormal="100" workbookViewId="0">
      <selection activeCell="F14" sqref="F14"/>
    </sheetView>
  </sheetViews>
  <sheetFormatPr baseColWidth="10" defaultColWidth="8.6640625" defaultRowHeight="14.4" x14ac:dyDescent="0.3"/>
  <cols>
    <col min="1" max="1" width="3" customWidth="1"/>
    <col min="2" max="2" width="32" customWidth="1"/>
    <col min="3" max="3" width="55" customWidth="1"/>
    <col min="4" max="4" width="3" customWidth="1"/>
  </cols>
  <sheetData>
    <row r="2" spans="2:3" ht="31.5" customHeight="1" x14ac:dyDescent="0.3">
      <c r="B2" s="41" t="s">
        <v>0</v>
      </c>
      <c r="C2" s="41"/>
    </row>
    <row r="3" spans="2:3" ht="25.5" customHeight="1" x14ac:dyDescent="0.3">
      <c r="B3" s="42" t="s">
        <v>1</v>
      </c>
      <c r="C3" s="42"/>
    </row>
    <row r="4" spans="2:3" ht="18" customHeight="1" x14ac:dyDescent="0.3">
      <c r="B4" s="43" t="s">
        <v>2</v>
      </c>
      <c r="C4" s="43"/>
    </row>
    <row r="6" spans="2:3" ht="15.6" x14ac:dyDescent="0.3">
      <c r="B6" s="40" t="s">
        <v>3</v>
      </c>
      <c r="C6" s="40"/>
    </row>
    <row r="7" spans="2:3" ht="18" customHeight="1" x14ac:dyDescent="0.3">
      <c r="B7" s="1" t="s">
        <v>4</v>
      </c>
      <c r="C7" s="2">
        <v>6</v>
      </c>
    </row>
    <row r="8" spans="2:3" ht="46.8" customHeight="1" x14ac:dyDescent="0.3">
      <c r="B8" s="1" t="s">
        <v>5</v>
      </c>
      <c r="C8" s="2" t="s">
        <v>117</v>
      </c>
    </row>
    <row r="9" spans="2:3" ht="18" customHeight="1" x14ac:dyDescent="0.3">
      <c r="B9" s="1" t="s">
        <v>6</v>
      </c>
      <c r="C9" s="2" t="s">
        <v>115</v>
      </c>
    </row>
    <row r="10" spans="2:3" ht="18" customHeight="1" x14ac:dyDescent="0.3">
      <c r="B10" s="1" t="s">
        <v>7</v>
      </c>
      <c r="C10" s="2" t="s">
        <v>8</v>
      </c>
    </row>
    <row r="11" spans="2:3" ht="18" customHeight="1" x14ac:dyDescent="0.3">
      <c r="B11" s="1" t="s">
        <v>9</v>
      </c>
      <c r="C11" s="2" t="s">
        <v>10</v>
      </c>
    </row>
    <row r="12" spans="2:3" ht="18" customHeight="1" x14ac:dyDescent="0.3">
      <c r="B12" s="1" t="s">
        <v>11</v>
      </c>
      <c r="C12" s="2" t="s">
        <v>12</v>
      </c>
    </row>
    <row r="13" spans="2:3" ht="18" customHeight="1" x14ac:dyDescent="0.3">
      <c r="B13" s="1" t="s">
        <v>13</v>
      </c>
      <c r="C13" s="2" t="s">
        <v>14</v>
      </c>
    </row>
    <row r="14" spans="2:3" ht="18" customHeight="1" x14ac:dyDescent="0.3">
      <c r="B14" s="1" t="s">
        <v>15</v>
      </c>
      <c r="C14" s="2" t="s">
        <v>116</v>
      </c>
    </row>
    <row r="16" spans="2:3" ht="15.6" x14ac:dyDescent="0.3">
      <c r="B16" s="40" t="s">
        <v>16</v>
      </c>
      <c r="C16" s="40"/>
    </row>
    <row r="17" spans="2:3" ht="90" customHeight="1" x14ac:dyDescent="0.3">
      <c r="B17" s="39" t="s">
        <v>17</v>
      </c>
      <c r="C17" s="39"/>
    </row>
    <row r="18" spans="2:3" x14ac:dyDescent="0.3">
      <c r="B18" s="39"/>
      <c r="C18" s="39"/>
    </row>
    <row r="19" spans="2:3" x14ac:dyDescent="0.3">
      <c r="B19" s="39"/>
      <c r="C19" s="39"/>
    </row>
    <row r="20" spans="2:3" x14ac:dyDescent="0.3">
      <c r="B20" s="39"/>
      <c r="C20" s="39"/>
    </row>
    <row r="21" spans="2:3" x14ac:dyDescent="0.3">
      <c r="B21" s="39"/>
      <c r="C21" s="39"/>
    </row>
    <row r="23" spans="2:3" ht="15.6" x14ac:dyDescent="0.3">
      <c r="B23" s="40" t="s">
        <v>18</v>
      </c>
      <c r="C23" s="40"/>
    </row>
    <row r="24" spans="2:3" ht="27.75" customHeight="1" x14ac:dyDescent="0.3">
      <c r="B24" s="1" t="s">
        <v>19</v>
      </c>
      <c r="C24" s="2" t="s">
        <v>20</v>
      </c>
    </row>
    <row r="25" spans="2:3" ht="27.75" customHeight="1" x14ac:dyDescent="0.3">
      <c r="B25" s="1" t="s">
        <v>21</v>
      </c>
      <c r="C25" s="2" t="s">
        <v>22</v>
      </c>
    </row>
    <row r="26" spans="2:3" ht="27.75" customHeight="1" x14ac:dyDescent="0.3">
      <c r="B26" s="1" t="s">
        <v>23</v>
      </c>
      <c r="C26" s="2" t="s">
        <v>24</v>
      </c>
    </row>
  </sheetData>
  <mergeCells count="7">
    <mergeCell ref="B17:C21"/>
    <mergeCell ref="B23:C23"/>
    <mergeCell ref="B2:C2"/>
    <mergeCell ref="B3:C3"/>
    <mergeCell ref="B4:C4"/>
    <mergeCell ref="B6:C6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zoomScaleNormal="100" workbookViewId="0">
      <pane ySplit="4" topLeftCell="A5" activePane="bottomLeft" state="frozen"/>
      <selection pane="bottomLeft" activeCell="J7" sqref="J7"/>
    </sheetView>
  </sheetViews>
  <sheetFormatPr baseColWidth="10" defaultColWidth="8.6640625" defaultRowHeight="14.4" x14ac:dyDescent="0.3"/>
  <cols>
    <col min="1" max="1" width="10" customWidth="1"/>
    <col min="2" max="2" width="21.44140625" customWidth="1"/>
    <col min="3" max="4" width="16" customWidth="1"/>
    <col min="5" max="5" width="38" customWidth="1"/>
    <col min="6" max="6" width="30" customWidth="1"/>
    <col min="7" max="7" width="26" customWidth="1"/>
    <col min="8" max="8" width="22" customWidth="1"/>
  </cols>
  <sheetData>
    <row r="1" spans="1:8" ht="25.5" customHeight="1" x14ac:dyDescent="0.3">
      <c r="A1" s="44" t="s">
        <v>25</v>
      </c>
      <c r="B1" s="44"/>
      <c r="C1" s="44"/>
      <c r="D1" s="44"/>
      <c r="E1" s="44"/>
      <c r="F1" s="44"/>
      <c r="G1" s="44"/>
      <c r="H1" s="44"/>
    </row>
    <row r="2" spans="1:8" ht="15.75" customHeight="1" x14ac:dyDescent="0.3">
      <c r="A2" s="45" t="s">
        <v>114</v>
      </c>
      <c r="B2" s="45"/>
      <c r="C2" s="45"/>
      <c r="D2" s="45"/>
      <c r="E2" s="45"/>
      <c r="F2" s="45"/>
      <c r="G2" s="45"/>
      <c r="H2" s="45"/>
    </row>
    <row r="4" spans="1:8" ht="31.5" customHeight="1" x14ac:dyDescent="0.3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  <c r="F4" s="3" t="s">
        <v>31</v>
      </c>
      <c r="G4" s="3" t="s">
        <v>32</v>
      </c>
      <c r="H4" s="3" t="s">
        <v>33</v>
      </c>
    </row>
    <row r="5" spans="1:8" ht="57.75" customHeight="1" x14ac:dyDescent="0.3">
      <c r="A5" s="4" t="s">
        <v>34</v>
      </c>
      <c r="B5" s="5" t="s">
        <v>35</v>
      </c>
      <c r="C5" s="6">
        <v>28</v>
      </c>
      <c r="D5" s="6">
        <v>14</v>
      </c>
      <c r="E5" s="7" t="s">
        <v>36</v>
      </c>
      <c r="F5" s="7" t="s">
        <v>37</v>
      </c>
      <c r="G5" s="7" t="s">
        <v>38</v>
      </c>
      <c r="H5" s="8" t="s">
        <v>39</v>
      </c>
    </row>
    <row r="6" spans="1:8" ht="57.75" customHeight="1" x14ac:dyDescent="0.3">
      <c r="A6" s="9" t="s">
        <v>40</v>
      </c>
      <c r="B6" s="10" t="s">
        <v>41</v>
      </c>
      <c r="C6" s="11">
        <v>28</v>
      </c>
      <c r="D6" s="11">
        <v>18</v>
      </c>
      <c r="E6" s="12" t="s">
        <v>42</v>
      </c>
      <c r="F6" s="12" t="s">
        <v>43</v>
      </c>
      <c r="G6" s="13" t="s">
        <v>44</v>
      </c>
      <c r="H6" s="14" t="s">
        <v>38</v>
      </c>
    </row>
    <row r="7" spans="1:8" ht="57.75" customHeight="1" x14ac:dyDescent="0.3">
      <c r="A7" s="4" t="s">
        <v>45</v>
      </c>
      <c r="B7" s="5" t="s">
        <v>46</v>
      </c>
      <c r="C7" s="6">
        <v>28</v>
      </c>
      <c r="D7" s="6">
        <v>20</v>
      </c>
      <c r="E7" s="7" t="s">
        <v>47</v>
      </c>
      <c r="F7" s="7" t="s">
        <v>48</v>
      </c>
      <c r="G7" s="15" t="s">
        <v>49</v>
      </c>
      <c r="H7" s="8" t="s">
        <v>38</v>
      </c>
    </row>
    <row r="8" spans="1:8" ht="57.75" customHeight="1" x14ac:dyDescent="0.3">
      <c r="A8" s="9" t="s">
        <v>50</v>
      </c>
      <c r="B8" s="10" t="s">
        <v>51</v>
      </c>
      <c r="C8" s="11">
        <v>28</v>
      </c>
      <c r="D8" s="11">
        <v>20</v>
      </c>
      <c r="E8" s="12" t="s">
        <v>52</v>
      </c>
      <c r="F8" s="12" t="s">
        <v>53</v>
      </c>
      <c r="G8" s="13" t="s">
        <v>54</v>
      </c>
      <c r="H8" s="14" t="s">
        <v>38</v>
      </c>
    </row>
    <row r="9" spans="1:8" ht="57.75" customHeight="1" x14ac:dyDescent="0.3">
      <c r="A9" s="16" t="s">
        <v>55</v>
      </c>
      <c r="B9" s="17" t="s">
        <v>56</v>
      </c>
      <c r="C9" s="18">
        <v>24</v>
      </c>
      <c r="D9" s="18">
        <v>22</v>
      </c>
      <c r="E9" s="19" t="s">
        <v>57</v>
      </c>
      <c r="F9" s="19" t="s">
        <v>58</v>
      </c>
      <c r="G9" s="20" t="s">
        <v>59</v>
      </c>
      <c r="H9" s="21" t="s">
        <v>60</v>
      </c>
    </row>
    <row r="10" spans="1:8" ht="57.75" customHeight="1" x14ac:dyDescent="0.3">
      <c r="A10" s="9" t="s">
        <v>61</v>
      </c>
      <c r="B10" s="10" t="s">
        <v>62</v>
      </c>
      <c r="C10" s="11">
        <v>28</v>
      </c>
      <c r="D10" s="11">
        <v>18</v>
      </c>
      <c r="E10" s="12" t="s">
        <v>63</v>
      </c>
      <c r="F10" s="12" t="s">
        <v>64</v>
      </c>
      <c r="G10" s="13" t="s">
        <v>65</v>
      </c>
      <c r="H10" s="14" t="s">
        <v>38</v>
      </c>
    </row>
    <row r="11" spans="1:8" ht="57.75" customHeight="1" x14ac:dyDescent="0.3">
      <c r="A11" s="22" t="s">
        <v>66</v>
      </c>
      <c r="B11" s="23" t="s">
        <v>67</v>
      </c>
      <c r="C11" s="24">
        <v>24</v>
      </c>
      <c r="D11" s="24">
        <v>18</v>
      </c>
      <c r="E11" s="25" t="s">
        <v>68</v>
      </c>
      <c r="F11" s="25" t="s">
        <v>69</v>
      </c>
      <c r="G11" s="25" t="s">
        <v>38</v>
      </c>
      <c r="H11" s="26" t="s">
        <v>70</v>
      </c>
    </row>
    <row r="12" spans="1:8" ht="57.75" customHeight="1" x14ac:dyDescent="0.3">
      <c r="A12" s="27" t="s">
        <v>71</v>
      </c>
      <c r="B12" s="28" t="s">
        <v>72</v>
      </c>
      <c r="C12" s="29">
        <v>20</v>
      </c>
      <c r="D12" s="29">
        <v>10</v>
      </c>
      <c r="E12" s="30" t="s">
        <v>73</v>
      </c>
      <c r="F12" s="30" t="s">
        <v>74</v>
      </c>
      <c r="G12" s="30" t="s">
        <v>38</v>
      </c>
      <c r="H12" s="31" t="s">
        <v>75</v>
      </c>
    </row>
    <row r="13" spans="1:8" ht="19.5" customHeight="1" x14ac:dyDescent="0.3">
      <c r="A13" s="32" t="s">
        <v>76</v>
      </c>
      <c r="B13" s="33" t="s">
        <v>77</v>
      </c>
      <c r="C13" s="32">
        <f>SUM(C5:C12)</f>
        <v>208</v>
      </c>
      <c r="D13" s="32">
        <f>SUM(D5:D12)</f>
        <v>140</v>
      </c>
      <c r="E13" s="34"/>
      <c r="F13" s="34"/>
      <c r="G13" s="34"/>
      <c r="H13" s="34"/>
    </row>
    <row r="15" spans="1:8" ht="30" customHeight="1" x14ac:dyDescent="0.3">
      <c r="A15" s="46" t="s">
        <v>78</v>
      </c>
      <c r="B15" s="46"/>
      <c r="C15" s="46"/>
      <c r="D15" s="46"/>
      <c r="E15" s="46"/>
      <c r="F15" s="46"/>
      <c r="G15" s="46"/>
      <c r="H15" s="46"/>
    </row>
    <row r="16" spans="1:8" ht="25.5" customHeight="1" x14ac:dyDescent="0.3">
      <c r="A16" s="46" t="s">
        <v>79</v>
      </c>
      <c r="B16" s="46"/>
      <c r="C16" s="46"/>
      <c r="D16" s="46"/>
      <c r="E16" s="46"/>
      <c r="F16" s="46"/>
      <c r="G16" s="46"/>
      <c r="H16" s="46"/>
    </row>
  </sheetData>
  <mergeCells count="4">
    <mergeCell ref="A1:H1"/>
    <mergeCell ref="A2:H2"/>
    <mergeCell ref="A15:H15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4.4" x14ac:dyDescent="0.3"/>
  <cols>
    <col min="1" max="1" width="10" customWidth="1"/>
    <col min="2" max="2" width="18" customWidth="1"/>
    <col min="3" max="7" width="20" customWidth="1"/>
  </cols>
  <sheetData>
    <row r="1" spans="1:7" ht="25.5" customHeight="1" x14ac:dyDescent="0.3">
      <c r="A1" s="44" t="s">
        <v>80</v>
      </c>
      <c r="B1" s="44"/>
      <c r="C1" s="44"/>
      <c r="D1" s="44"/>
      <c r="E1" s="44"/>
      <c r="F1" s="44"/>
      <c r="G1" s="44"/>
    </row>
    <row r="2" spans="1:7" ht="15.75" customHeight="1" x14ac:dyDescent="0.3">
      <c r="A2" s="45" t="s">
        <v>81</v>
      </c>
      <c r="B2" s="45"/>
      <c r="C2" s="45"/>
      <c r="D2" s="45"/>
      <c r="E2" s="45"/>
      <c r="F2" s="45"/>
      <c r="G2" s="45"/>
    </row>
    <row r="4" spans="1:7" ht="30" customHeight="1" x14ac:dyDescent="0.3">
      <c r="A4" s="3" t="s">
        <v>26</v>
      </c>
      <c r="B4" s="3" t="s">
        <v>11</v>
      </c>
      <c r="C4" s="3" t="s">
        <v>82</v>
      </c>
      <c r="D4" s="3" t="s">
        <v>83</v>
      </c>
      <c r="E4" s="3" t="s">
        <v>84</v>
      </c>
      <c r="F4" s="3" t="s">
        <v>85</v>
      </c>
      <c r="G4" s="3" t="s">
        <v>86</v>
      </c>
    </row>
    <row r="5" spans="1:7" ht="25.5" customHeight="1" x14ac:dyDescent="0.3">
      <c r="A5" s="35" t="s">
        <v>34</v>
      </c>
      <c r="B5" s="36" t="s">
        <v>87</v>
      </c>
      <c r="C5" s="36">
        <v>14</v>
      </c>
      <c r="D5" s="36">
        <v>0</v>
      </c>
      <c r="E5" s="36">
        <f t="shared" ref="E5:E12" si="0">$C$12</f>
        <v>140</v>
      </c>
      <c r="F5" s="36">
        <f t="shared" ref="F5:F12" si="1">D5-C5</f>
        <v>-14</v>
      </c>
      <c r="G5" s="36" t="s">
        <v>39</v>
      </c>
    </row>
    <row r="6" spans="1:7" ht="25.5" customHeight="1" x14ac:dyDescent="0.3">
      <c r="A6" s="37" t="s">
        <v>40</v>
      </c>
      <c r="B6" s="38" t="s">
        <v>88</v>
      </c>
      <c r="C6" s="38">
        <v>32</v>
      </c>
      <c r="D6" s="38">
        <v>0</v>
      </c>
      <c r="E6" s="38">
        <f t="shared" si="0"/>
        <v>140</v>
      </c>
      <c r="F6" s="38">
        <f t="shared" si="1"/>
        <v>-32</v>
      </c>
      <c r="G6" s="38"/>
    </row>
    <row r="7" spans="1:7" ht="25.5" customHeight="1" x14ac:dyDescent="0.3">
      <c r="A7" s="35" t="s">
        <v>45</v>
      </c>
      <c r="B7" s="36" t="s">
        <v>88</v>
      </c>
      <c r="C7" s="36">
        <v>52</v>
      </c>
      <c r="D7" s="36">
        <v>0</v>
      </c>
      <c r="E7" s="36">
        <f t="shared" si="0"/>
        <v>140</v>
      </c>
      <c r="F7" s="36">
        <f t="shared" si="1"/>
        <v>-52</v>
      </c>
      <c r="G7" s="36"/>
    </row>
    <row r="8" spans="1:7" ht="25.5" customHeight="1" x14ac:dyDescent="0.3">
      <c r="A8" s="37" t="s">
        <v>50</v>
      </c>
      <c r="B8" s="38" t="s">
        <v>89</v>
      </c>
      <c r="C8" s="38">
        <v>72</v>
      </c>
      <c r="D8" s="38">
        <v>0</v>
      </c>
      <c r="E8" s="38">
        <f t="shared" si="0"/>
        <v>140</v>
      </c>
      <c r="F8" s="38">
        <f t="shared" si="1"/>
        <v>-72</v>
      </c>
      <c r="G8" s="38"/>
    </row>
    <row r="9" spans="1:7" ht="25.5" customHeight="1" x14ac:dyDescent="0.3">
      <c r="A9" s="35" t="s">
        <v>55</v>
      </c>
      <c r="B9" s="36" t="s">
        <v>89</v>
      </c>
      <c r="C9" s="36">
        <v>94</v>
      </c>
      <c r="D9" s="36">
        <v>0</v>
      </c>
      <c r="E9" s="36">
        <f t="shared" si="0"/>
        <v>140</v>
      </c>
      <c r="F9" s="36">
        <f t="shared" si="1"/>
        <v>-94</v>
      </c>
      <c r="G9" s="36" t="s">
        <v>60</v>
      </c>
    </row>
    <row r="10" spans="1:7" ht="25.5" customHeight="1" x14ac:dyDescent="0.3">
      <c r="A10" s="37" t="s">
        <v>61</v>
      </c>
      <c r="B10" s="38" t="s">
        <v>90</v>
      </c>
      <c r="C10" s="38">
        <v>112</v>
      </c>
      <c r="D10" s="38">
        <v>0</v>
      </c>
      <c r="E10" s="38">
        <f t="shared" si="0"/>
        <v>140</v>
      </c>
      <c r="F10" s="38">
        <f t="shared" si="1"/>
        <v>-112</v>
      </c>
      <c r="G10" s="38"/>
    </row>
    <row r="11" spans="1:7" ht="25.5" customHeight="1" x14ac:dyDescent="0.3">
      <c r="A11" s="35" t="s">
        <v>66</v>
      </c>
      <c r="B11" s="36" t="s">
        <v>90</v>
      </c>
      <c r="C11" s="36">
        <v>130</v>
      </c>
      <c r="D11" s="36">
        <v>0</v>
      </c>
      <c r="E11" s="36">
        <f t="shared" si="0"/>
        <v>140</v>
      </c>
      <c r="F11" s="36">
        <f t="shared" si="1"/>
        <v>-130</v>
      </c>
      <c r="G11" s="36" t="s">
        <v>70</v>
      </c>
    </row>
    <row r="12" spans="1:7" ht="25.5" customHeight="1" x14ac:dyDescent="0.3">
      <c r="A12" s="37" t="s">
        <v>71</v>
      </c>
      <c r="B12" s="38" t="s">
        <v>91</v>
      </c>
      <c r="C12" s="38">
        <v>140</v>
      </c>
      <c r="D12" s="38">
        <v>0</v>
      </c>
      <c r="E12" s="38">
        <f t="shared" si="0"/>
        <v>140</v>
      </c>
      <c r="F12" s="38">
        <f t="shared" si="1"/>
        <v>-140</v>
      </c>
      <c r="G12" s="38" t="s">
        <v>75</v>
      </c>
    </row>
    <row r="14" spans="1:7" ht="31.5" customHeight="1" x14ac:dyDescent="0.3">
      <c r="A14" s="46" t="s">
        <v>92</v>
      </c>
      <c r="B14" s="46"/>
      <c r="C14" s="46"/>
      <c r="D14" s="46"/>
      <c r="E14" s="46"/>
      <c r="F14" s="46"/>
      <c r="G14" s="46"/>
    </row>
  </sheetData>
  <mergeCells count="3">
    <mergeCell ref="A1:G1"/>
    <mergeCell ref="A2:G2"/>
    <mergeCell ref="A14:G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showGridLines="0" zoomScaleNormal="100" workbookViewId="0">
      <selection activeCell="B29" sqref="B29"/>
    </sheetView>
  </sheetViews>
  <sheetFormatPr baseColWidth="10" defaultColWidth="8.6640625" defaultRowHeight="14.4" x14ac:dyDescent="0.3"/>
  <cols>
    <col min="1" max="1" width="26" customWidth="1"/>
    <col min="2" max="2" width="70" customWidth="1"/>
  </cols>
  <sheetData>
    <row r="1" spans="1:2" ht="25.5" customHeight="1" x14ac:dyDescent="0.3">
      <c r="A1" s="44" t="s">
        <v>93</v>
      </c>
      <c r="B1" s="44"/>
    </row>
    <row r="3" spans="1:2" x14ac:dyDescent="0.3">
      <c r="A3" s="47" t="s">
        <v>94</v>
      </c>
      <c r="B3" s="47"/>
    </row>
    <row r="4" spans="1:2" ht="33.75" customHeight="1" x14ac:dyDescent="0.3">
      <c r="A4" s="1" t="s">
        <v>95</v>
      </c>
      <c r="B4" s="2" t="s">
        <v>96</v>
      </c>
    </row>
    <row r="5" spans="1:2" ht="33.75" customHeight="1" x14ac:dyDescent="0.3">
      <c r="A5" s="1" t="s">
        <v>97</v>
      </c>
      <c r="B5" s="2" t="s">
        <v>98</v>
      </c>
    </row>
    <row r="6" spans="1:2" ht="33.75" customHeight="1" x14ac:dyDescent="0.3">
      <c r="A6" s="1" t="s">
        <v>99</v>
      </c>
      <c r="B6" s="2" t="s">
        <v>100</v>
      </c>
    </row>
    <row r="7" spans="1:2" ht="33.75" customHeight="1" x14ac:dyDescent="0.3">
      <c r="A7" s="1" t="s">
        <v>101</v>
      </c>
      <c r="B7" s="2" t="s">
        <v>102</v>
      </c>
    </row>
    <row r="9" spans="1:2" x14ac:dyDescent="0.3">
      <c r="A9" s="47" t="s">
        <v>103</v>
      </c>
      <c r="B9" s="47"/>
    </row>
    <row r="10" spans="1:2" ht="33.75" customHeight="1" x14ac:dyDescent="0.3">
      <c r="A10" s="1" t="s">
        <v>104</v>
      </c>
      <c r="B10" s="2" t="s">
        <v>105</v>
      </c>
    </row>
    <row r="11" spans="1:2" ht="33.75" customHeight="1" x14ac:dyDescent="0.3">
      <c r="A11" s="1" t="s">
        <v>106</v>
      </c>
      <c r="B11" s="2" t="s">
        <v>107</v>
      </c>
    </row>
    <row r="12" spans="1:2" ht="33.75" customHeight="1" x14ac:dyDescent="0.3">
      <c r="A12" s="1" t="s">
        <v>108</v>
      </c>
      <c r="B12" s="2" t="s">
        <v>109</v>
      </c>
    </row>
    <row r="13" spans="1:2" ht="33.75" customHeight="1" x14ac:dyDescent="0.3">
      <c r="A13" s="1" t="s">
        <v>110</v>
      </c>
      <c r="B13" s="2" t="s">
        <v>111</v>
      </c>
    </row>
    <row r="14" spans="1:2" ht="33.75" customHeight="1" x14ac:dyDescent="0.3">
      <c r="A14" s="1" t="s">
        <v>112</v>
      </c>
      <c r="B14" s="2" t="s">
        <v>113</v>
      </c>
    </row>
    <row r="17" ht="24" customHeight="1" x14ac:dyDescent="0.3"/>
    <row r="18" ht="24" customHeight="1" x14ac:dyDescent="0.3"/>
    <row r="19" ht="24" customHeight="1" x14ac:dyDescent="0.3"/>
    <row r="20" ht="24" customHeight="1" x14ac:dyDescent="0.3"/>
    <row r="21" ht="24" customHeight="1" x14ac:dyDescent="0.3"/>
  </sheetData>
  <mergeCells count="3">
    <mergeCell ref="A1:B1"/>
    <mergeCell ref="A3:B3"/>
    <mergeCell ref="A9:B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Garde</vt:lpstr>
      <vt:lpstr>Release Planning</vt:lpstr>
      <vt:lpstr>Burnup global</vt:lpstr>
      <vt:lpstr>Légende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Rayan- Dev</cp:lastModifiedBy>
  <cp:revision>1</cp:revision>
  <dcterms:created xsi:type="dcterms:W3CDTF">2026-06-29T13:10:57Z</dcterms:created>
  <dcterms:modified xsi:type="dcterms:W3CDTF">2026-06-29T14:55:09Z</dcterms:modified>
  <dc:language>en-US</dc:language>
</cp:coreProperties>
</file>